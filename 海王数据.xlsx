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99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税率请填写编码： 0:没有税；1:17%税；2:13%税；3:3%税；5:5%税；7:11%税；</t>
        </r>
      </text>
    </comment>
  </commentList>
</comments>
</file>

<file path=xl/sharedStrings.xml><?xml version="1.0" encoding="utf-8"?>
<sst xmlns="http://schemas.openxmlformats.org/spreadsheetml/2006/main" count="66" uniqueCount="35">
  <si>
    <t>类别</t>
  </si>
  <si>
    <t>商品SAP编码</t>
  </si>
  <si>
    <t>商品名称</t>
  </si>
  <si>
    <t>规格</t>
  </si>
  <si>
    <t>单位</t>
  </si>
  <si>
    <t>店号/区域ID</t>
  </si>
  <si>
    <t>店名/区域</t>
  </si>
  <si>
    <t>销量</t>
  </si>
  <si>
    <t>过账日期</t>
  </si>
  <si>
    <t>月度</t>
  </si>
  <si>
    <t>合同价</t>
  </si>
  <si>
    <t>事业部名称</t>
  </si>
  <si>
    <t>事业部</t>
  </si>
  <si>
    <t>天和 ,骨通贴膏（聚异丁烯型）  桂林华润天和  7cm*10cm*2贴*3袋</t>
  </si>
  <si>
    <t>7CM*10CM*2贴*3袋</t>
  </si>
  <si>
    <t>BX</t>
  </si>
  <si>
    <t>F089</t>
  </si>
  <si>
    <t>东怡新区健康药房</t>
  </si>
  <si>
    <t>2026-01-01 00:00:00</t>
  </si>
  <si>
    <t/>
  </si>
  <si>
    <t>广州</t>
  </si>
  <si>
    <t>GZ</t>
  </si>
  <si>
    <t>黄埔心安店</t>
  </si>
  <si>
    <t>G381</t>
  </si>
  <si>
    <t>桃园南二店</t>
  </si>
  <si>
    <t>G498</t>
  </si>
  <si>
    <t>三号店</t>
  </si>
  <si>
    <t>2026-01-03 00:00:00</t>
  </si>
  <si>
    <t>F077</t>
  </si>
  <si>
    <t>海景健康药房</t>
  </si>
  <si>
    <t>佛山</t>
  </si>
  <si>
    <t>FS</t>
  </si>
  <si>
    <t>G364</t>
  </si>
  <si>
    <t>星虹健康药房</t>
  </si>
  <si>
    <t>2026-01-04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</si>
</sst>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indexed="20"/>
      <name val="Arial"/>
      <charset val="0"/>
    </font>
    <font>
      <b/>
      <sz val="15"/>
      <color rgb="FF800080"/>
      <name val="宋体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I3" sqref="I3"/>
    </sheetView>
  </sheetViews>
  <sheetFormatPr defaultColWidth="8.61261261261261" defaultRowHeight="14.1" outlineLevelRow="6"/>
  <cols>
    <col min="9" max="9" width="19.1711711711712" customWidth="1"/>
  </cols>
  <sheetData>
    <row r="1" ht="19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21606</v>
      </c>
      <c r="B2" s="3">
        <v>8093183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1</v>
      </c>
      <c r="I2" s="3" t="s">
        <v>18</v>
      </c>
      <c r="J2" s="3" t="str">
        <f>LEFT(I2,7)</f>
        <v>2026-01</v>
      </c>
      <c r="K2" s="3" t="s">
        <v>19</v>
      </c>
      <c r="L2" s="3" t="s">
        <v>20</v>
      </c>
      <c r="M2" s="3" t="s">
        <v>21</v>
      </c>
    </row>
    <row r="3" spans="1:13">
      <c r="A3" s="3">
        <v>21606</v>
      </c>
      <c r="B3" s="3">
        <v>8093183</v>
      </c>
      <c r="C3" s="3" t="s">
        <v>13</v>
      </c>
      <c r="D3" s="3" t="s">
        <v>14</v>
      </c>
      <c r="E3" s="3" t="s">
        <v>15</v>
      </c>
      <c r="F3" s="3">
        <v>8047</v>
      </c>
      <c r="G3" s="3" t="s">
        <v>22</v>
      </c>
      <c r="H3" s="3">
        <v>1</v>
      </c>
      <c r="I3" s="3" t="s">
        <v>18</v>
      </c>
      <c r="J3" s="3" t="str">
        <f>LEFT(I3,7)</f>
        <v>2026-01</v>
      </c>
      <c r="K3" s="3" t="s">
        <v>19</v>
      </c>
      <c r="L3" s="3" t="s">
        <v>20</v>
      </c>
      <c r="M3" s="3" t="s">
        <v>21</v>
      </c>
    </row>
    <row r="4" spans="1:13">
      <c r="A4" s="3">
        <v>21606</v>
      </c>
      <c r="B4" s="3">
        <v>8093183</v>
      </c>
      <c r="C4" s="3" t="s">
        <v>13</v>
      </c>
      <c r="D4" s="3" t="s">
        <v>14</v>
      </c>
      <c r="E4" s="3" t="s">
        <v>15</v>
      </c>
      <c r="F4" s="3" t="s">
        <v>23</v>
      </c>
      <c r="G4" s="3" t="s">
        <v>24</v>
      </c>
      <c r="H4" s="3">
        <v>1</v>
      </c>
      <c r="I4" s="3" t="s">
        <v>18</v>
      </c>
      <c r="J4" s="3" t="str">
        <f>LEFT(I4,7)</f>
        <v>2026-01</v>
      </c>
      <c r="K4" s="3" t="s">
        <v>19</v>
      </c>
      <c r="L4" s="3" t="s">
        <v>20</v>
      </c>
      <c r="M4" s="3" t="s">
        <v>21</v>
      </c>
    </row>
    <row r="5" spans="1:13">
      <c r="A5" s="3">
        <v>21606</v>
      </c>
      <c r="B5" s="3">
        <v>8093183</v>
      </c>
      <c r="C5" s="3" t="s">
        <v>13</v>
      </c>
      <c r="D5" s="3" t="s">
        <v>14</v>
      </c>
      <c r="E5" s="3" t="s">
        <v>15</v>
      </c>
      <c r="F5" s="3" t="s">
        <v>25</v>
      </c>
      <c r="G5" s="3" t="s">
        <v>26</v>
      </c>
      <c r="H5" s="3">
        <v>2</v>
      </c>
      <c r="I5" s="3" t="s">
        <v>27</v>
      </c>
      <c r="J5" s="3" t="str">
        <f>LEFT(I5,7)</f>
        <v>2026-01</v>
      </c>
      <c r="K5" s="3" t="s">
        <v>19</v>
      </c>
      <c r="L5" s="3" t="s">
        <v>20</v>
      </c>
      <c r="M5" s="3" t="s">
        <v>21</v>
      </c>
    </row>
    <row r="6" spans="1:13">
      <c r="A6" s="3">
        <v>21606</v>
      </c>
      <c r="B6" s="3">
        <v>8093183</v>
      </c>
      <c r="C6" s="3" t="s">
        <v>13</v>
      </c>
      <c r="D6" s="3" t="s">
        <v>14</v>
      </c>
      <c r="E6" s="3" t="s">
        <v>15</v>
      </c>
      <c r="F6" s="3" t="s">
        <v>28</v>
      </c>
      <c r="G6" s="3" t="s">
        <v>29</v>
      </c>
      <c r="H6" s="3">
        <v>1</v>
      </c>
      <c r="I6" s="3" t="s">
        <v>27</v>
      </c>
      <c r="J6" s="3" t="str">
        <f>LEFT(I6,7)</f>
        <v>2026-01</v>
      </c>
      <c r="K6" s="3" t="s">
        <v>19</v>
      </c>
      <c r="L6" s="3" t="s">
        <v>30</v>
      </c>
      <c r="M6" s="3" t="s">
        <v>31</v>
      </c>
    </row>
    <row r="7" spans="1:13">
      <c r="A7" s="3">
        <v>21606</v>
      </c>
      <c r="B7" s="3">
        <v>8093183</v>
      </c>
      <c r="C7" s="3" t="s">
        <v>13</v>
      </c>
      <c r="D7" s="3" t="s">
        <v>14</v>
      </c>
      <c r="E7" s="3" t="s">
        <v>15</v>
      </c>
      <c r="F7" s="3" t="s">
        <v>32</v>
      </c>
      <c r="G7" s="3" t="s">
        <v>33</v>
      </c>
      <c r="H7" s="3">
        <v>1</v>
      </c>
      <c r="I7" s="3" t="s">
        <v>34</v>
      </c>
      <c r="J7" s="3" t="str">
        <f>LEFT(I7,7)</f>
        <v>2026-01</v>
      </c>
      <c r="K7" s="3" t="s">
        <v>19</v>
      </c>
      <c r="L7" s="3" t="s">
        <v>20</v>
      </c>
      <c r="M7" s="3" t="s">
        <v>21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insist</cp:lastModifiedBy>
  <dcterms:created xsi:type="dcterms:W3CDTF">2026-07-19T10:02:00Z</dcterms:created>
  <dcterms:modified xsi:type="dcterms:W3CDTF">2026-07-19T10:24:53Z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4DA7EF93FA4E427ABE448CF75C28009D_11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